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lantilla" sheetId="1" r:id="rId4"/>
  </sheets>
  <definedNames/>
  <calcPr/>
  <extLst>
    <ext uri="GoogleSheetsCustomDataVersion2">
      <go:sheetsCustomData xmlns:go="http://customooxmlschemas.google.com/" r:id="rId5" roundtripDataChecksum="uE+eUxAJx69Q9HuBswfChczy0H3pBmJuWVl/pNYDyJ8="/>
    </ext>
  </extLst>
</workbook>
</file>

<file path=xl/sharedStrings.xml><?xml version="1.0" encoding="utf-8"?>
<sst xmlns="http://schemas.openxmlformats.org/spreadsheetml/2006/main" count="282" uniqueCount="204">
  <si>
    <t>HISTORIAS DE USUARIO — SPIDOCODE</t>
  </si>
  <si>
    <t>Plantilla basada en Como / Quiero / Para y criterios de aceptación Gherkin.</t>
  </si>
  <si>
    <t>ID HU</t>
  </si>
  <si>
    <t>Épica</t>
  </si>
  <si>
    <t>Rol / Como</t>
  </si>
  <si>
    <t>Necesidad / Quiero</t>
  </si>
  <si>
    <t>Beneficio / Para</t>
  </si>
  <si>
    <t>ID escenario</t>
  </si>
  <si>
    <t>Escenario</t>
  </si>
  <si>
    <t>Dado que / Given</t>
  </si>
  <si>
    <t>Cuando / When</t>
  </si>
  <si>
    <t>Entonces / Then</t>
  </si>
  <si>
    <t>Prioridad</t>
  </si>
  <si>
    <t>Puntos</t>
  </si>
  <si>
    <t>Estado</t>
  </si>
  <si>
    <t>HU-01</t>
  </si>
  <si>
    <t xml:space="preserve">EP-01 Base del proyecto
  </t>
  </si>
  <si>
    <t>Como equipo de desarrollo</t>
  </si>
  <si>
    <t>Quiero documentar formalmente el alcance, problema y objetivos de SpidoCode</t>
  </si>
  <si>
    <t>Para guiar el desarrollo técnico y cumplir con los requerimientos de Capstone</t>
  </si>
  <si>
    <t>Formalización y alineación de requisitos</t>
  </si>
  <si>
    <t>El equipo inicia la planificación del proyecto</t>
  </si>
  <si>
    <t>Se redacta y revisa la ficha, visión y backlog</t>
  </si>
  <si>
    <t>Se obtiene un documento aprobado que define las funcionalidades y restricciones del videojuego</t>
  </si>
  <si>
    <t>Must</t>
  </si>
  <si>
    <t>HECHO</t>
  </si>
  <si>
    <t>HU-02</t>
  </si>
  <si>
    <t>Quiero estructurar el repositorio en carpetas modulares (escenas/, script/, assets/, etc.)</t>
  </si>
  <si>
    <t>Para mantener un desarrollo ordenado, escalable y sin colisiones en Git</t>
  </si>
  <si>
    <t>Inicialización del repositorio</t>
  </si>
  <si>
    <t>El motor Godot 4 está instalado</t>
  </si>
  <si>
    <t>Se clona el repositorio e importan los recursos base</t>
  </si>
  <si>
    <t>El árbol de carpetas refleja la arquitectura modular y compila sin conflictos</t>
  </si>
  <si>
    <t>HU-03</t>
  </si>
  <si>
    <t>EP-01 Base del proyecto</t>
  </si>
  <si>
    <t>Como desarrollador</t>
  </si>
  <si>
    <t>Quiero configurar la escena principal y el bucle de ejecución en Godot</t>
  </si>
  <si>
    <t>Para verificar que el proyecto inicia y corre fluidamente a 30 FPS</t>
  </si>
  <si>
    <t>Ejecución inicial del proyecto</t>
  </si>
  <si>
    <t>El proyecto se abre en Godot 4</t>
  </si>
  <si>
    <t>Se presiona F5 o "Ejecutar Proyecto"</t>
  </si>
  <si>
    <t>La ventana del juego carga sin errores de dependencias ni excepciones en consola</t>
  </si>
  <si>
    <t>HU-04</t>
  </si>
  <si>
    <t>EP-02 Exploración 3D</t>
  </si>
  <si>
    <t>Como estudiante</t>
  </si>
  <si>
    <t>Quiero visualizar un entorno espacial 3D con GridMap, iluminación y fondo cósmico</t>
  </si>
  <si>
    <t>Para sentirme inmerso en una expedición de exploración espacial</t>
  </si>
  <si>
    <t>Carga del entorno 3D</t>
  </si>
  <si>
    <t>El usuario inicia una sesión de juego</t>
  </si>
  <si>
    <t>Se carga la escena mundo.tscn</t>
  </si>
  <si>
    <t>Se renderiza la cuadrícula de terreno, la iluminación direccional y la cámara isométrica enfocada</t>
  </si>
  <si>
    <t>HU-05</t>
  </si>
  <si>
    <t>Quiero que la araña robot (Spid) se desplace respetando colisiones físicas</t>
  </si>
  <si>
    <t>Para navegar por el mapa sin atravesar obstáculos ni caerse del mundo</t>
  </si>
  <si>
    <t>Movimiento colisionable en GridMap</t>
  </si>
  <si>
    <t>Spid está posicionado en una celda válida del terreno</t>
  </si>
  <si>
    <t>Recibe la instrucción de avanzar hacia una casilla adyacente</t>
  </si>
  <si>
    <t>Si la casilla está libre, se traslada fluidamente; si hay un obstáculo, detiene su marcha y notifica la colisión</t>
  </si>
  <si>
    <t>HU-06</t>
  </si>
  <si>
    <t>Quiero encontrar yacimientos de minerales interactivos en el terreno</t>
  </si>
  <si>
    <t>Para utilizarlos como objetivos de minería y práctica de métodos</t>
  </si>
  <si>
    <t>Detección y minería de mineral</t>
  </si>
  <si>
    <t>Spid está frente a un mineral (mineral.tscn)</t>
  </si>
  <si>
    <t>Se ejecuta la acción de minar</t>
  </si>
  <si>
    <t>El mineral reproduce su efecto visual de extracción, desaparece del mapa y suma recursos</t>
  </si>
  <si>
    <t>HU-07</t>
  </si>
  <si>
    <t>Quiero ver un panel de inventario en la interfaz gráfica (UI)</t>
  </si>
  <si>
    <t>Para conocer en tiempo real los minerales recolectados y la capacidad de carga</t>
  </si>
  <si>
    <t>Actualización reactiva del inventario</t>
  </si>
  <si>
    <t>Spid extrae un nuevo recurso mineral</t>
  </si>
  <si>
    <t>Se emite la señal de recolección exitosa</t>
  </si>
  <si>
    <t>El contador de minerales en la UI aumenta inmediatamente mostrando la cantidad exacta</t>
  </si>
  <si>
    <t>HU-08</t>
  </si>
  <si>
    <t>EP-03 Programación interactiva</t>
  </si>
  <si>
    <t>Quiero un editor de texto (IDE in-game) con resaltado y número de línea</t>
  </si>
  <si>
    <t>Para escribir cómodamente instrucciones y métodos orientados a objetos</t>
  </si>
  <si>
    <t>Edición de código en juego</t>
  </si>
  <si>
    <t>La interfaz del IDE está visible en pantalla</t>
  </si>
  <si>
    <t>El usuario escribe código (spid.sur())</t>
  </si>
  <si>
    <t>El texto muestra coloreado de sintaxis (palabras clave, cadenas, métodos) y numeración correcta</t>
  </si>
  <si>
    <t>HU-09</t>
  </si>
  <si>
    <t>Quiero que el sistema verifique la sintaxis mediante un analizador léxico (Lexer/Parser)</t>
  </si>
  <si>
    <t>Para aprender la notación de punto (objeto.metodo()) y detectar errores de sintaxis</t>
  </si>
  <si>
    <t>Validación sintáctica estricta</t>
  </si>
  <si>
    <t>El usuario escribe una instrucción inválida (spid.avanzar sin paréntesis y error de metodo)</t>
  </si>
  <si>
    <t>Presiona el botón "Ejecutar"</t>
  </si>
  <si>
    <t>El parser rechaza la orden y resalta la línea con un mensaje pedagógico explicativo</t>
  </si>
  <si>
    <t>HU-10</t>
  </si>
  <si>
    <t>Quiero que cada instrucción válida escrita produzca una acción física visible en Spid</t>
  </si>
  <si>
    <t>Para comprobar visualmente el impacto directo de mi código en el mundo 3D</t>
  </si>
  <si>
    <t>Ejecución secuencial de métodos</t>
  </si>
  <si>
    <t>El usuario ingresa spid.norte() y luego spid.minar()</t>
  </si>
  <si>
    <t>Se inicia la ejecución</t>
  </si>
  <si>
    <t>Spid camina hacia norte y posteriormente minar un mineral de casilla</t>
  </si>
  <si>
    <t>HU-11</t>
  </si>
  <si>
    <t>Quiero recibir mensajes de error y retroalimentación comprensibles de la IA A.D.A.</t>
  </si>
  <si>
    <t>Para aprender de mis equivocaciones sin frustración y saber cómo corregir el código</t>
  </si>
  <si>
    <t>ESC-11.1</t>
  </si>
  <si>
    <t>Feedback pedagógico reactivo</t>
  </si>
  <si>
    <t>El código falla en tiempo de ejecución (ej. intento de minar en una casilla vacia)</t>
  </si>
  <si>
    <t>El ejecutor detecta la anomalía</t>
  </si>
  <si>
    <t>El panel de A.D.A. muestra una sugerencia formativa explicando la causa del bloqueo</t>
  </si>
  <si>
    <t>HU-12</t>
  </si>
  <si>
    <t>Como sistema</t>
  </si>
  <si>
    <t>Quiero limitar el tiempo de ejecución (timeout) y el número de iteraciones</t>
  </si>
  <si>
    <t>Para evitar que bucles infinitos (while True) congelen o cuelguen el videojuego</t>
  </si>
  <si>
    <t>ESC-12.1</t>
  </si>
  <si>
    <t>Protección contra ciclos infinitos</t>
  </si>
  <si>
    <t>El usuario ejecuta un bucle sin condición de salida efectiva</t>
  </si>
  <si>
    <t>La ejecución supera el límite de seguridad (ej. 5 segundos o 100 ciclos)</t>
  </si>
  <si>
    <t>El motor aborta la rutina de forma segura e informa que se excedió el tiempo máximo</t>
  </si>
  <si>
    <t>HU-13</t>
  </si>
  <si>
    <t>EP-04 Misiones educativas</t>
  </si>
  <si>
    <t>Quiero consultar los objetivos, restricciones y condiciones de victoria de cada misión</t>
  </si>
  <si>
    <t>Para saber exactamente qué problema algorítmico debo resolver antes de escribir código</t>
  </si>
  <si>
    <t>Despliegue de briefing de misión</t>
  </si>
  <si>
    <t xml:space="preserve">El jugador selecciona jugar </t>
  </si>
  <si>
    <t>Se carga la partida</t>
  </si>
  <si>
    <t>Se abre un panel lateral con el objetivo principal (ej. "Recolectar 2 minerales y transfierelos"), las instrucciones y las condiciones de éxito</t>
  </si>
  <si>
    <t>HU-14</t>
  </si>
  <si>
    <t>Quiero resolver retos iniciales basados en programación secuencial y llamadas a métodos</t>
  </si>
  <si>
    <t>Para comprender el flujo paso a paso de las instrucciones de un programa</t>
  </si>
  <si>
    <t>Validación de nivel de algoritmia secuencial</t>
  </si>
  <si>
    <t>El nivel exige desplazarse en 3 CASILLAS y accionar MINAR</t>
  </si>
  <si>
    <t>El usuario escribe la secuencia correcta de métodos y la ejecuta</t>
  </si>
  <si>
    <t>Spid completa la ruta, el evaluador de misiones valida la victoria y muestra la pantalla de nivel completado</t>
  </si>
  <si>
    <t>HU-15</t>
  </si>
  <si>
    <t>Quiero superar misiones avanzadas que requieran el uso de parámetros, condicionales (if) y ciclos (while/for)</t>
  </si>
  <si>
    <t>Para desarrollar pensamiento lógico formal y automatizar patrones repetitivos</t>
  </si>
  <si>
    <t>Uso de sensores y estructuras de control</t>
  </si>
  <si>
    <t>una mision requiere la exploracion de casillas 3 x 2 que mine y que transfiera al menos 2 veces en un ciclo</t>
  </si>
  <si>
    <t>El usuario programa una estructura while mas condicional if</t>
  </si>
  <si>
    <t>Spid toma la decisión en tiempo real basándose en su entorno y supera el circuito</t>
  </si>
  <si>
    <t>HU-16</t>
  </si>
  <si>
    <t>Quiero desbloquear nuevas funciones, comandos y entradas en el Códice A.D.A. al progresar</t>
  </si>
  <si>
    <t>Para asimilar la teoría de Programación Orientada a Objetos de forma gradual y no abrumadora</t>
  </si>
  <si>
    <t>Desbloqueo progresivo de sintaxis</t>
  </si>
  <si>
    <t>El jugador finaliza con éxito el nivel introductorio con los minerales que consigue durante su desarrollo</t>
  </si>
  <si>
    <t>El usuario usa los minerales para comprar mejoras que desbloquean sintaxis y desafios</t>
  </si>
  <si>
    <t>se desbloquea mas sintaxis de condicionales parametros funciones bucles etc junto con misiones de ADA</t>
  </si>
  <si>
    <t>Should</t>
  </si>
  <si>
    <t>EN PROGRESO</t>
  </si>
  <si>
    <t>HU-17</t>
  </si>
  <si>
    <t>EP-05 Persistencia del progreso</t>
  </si>
  <si>
    <t>Como usuario</t>
  </si>
  <si>
    <t>Quiero registrarme con correo y contraseña en la pantalla de autenticación</t>
  </si>
  <si>
    <t>Para disponer de un perfil personal único y resguardar mi avance académico</t>
  </si>
  <si>
    <t>Registro de nueva cuenta</t>
  </si>
  <si>
    <t>El usuario está en la pantalla de registro (auth.tscn)</t>
  </si>
  <si>
    <t>Ingresa un correo institucional válido y una contraseña que cumple los requisitos</t>
  </si>
  <si>
    <t>Supabase crea el registro en auth.users, genera el perfil en la base de datos y redirige al menú principal</t>
  </si>
  <si>
    <t>HU-18</t>
  </si>
  <si>
    <t>Quiero iniciar sesión con mis credenciales previamente registradas</t>
  </si>
  <si>
    <t>Para reanudar mis partidas desde cualquier computador</t>
  </si>
  <si>
    <t>Autenticación exitosa y fallida</t>
  </si>
  <si>
    <t>El usuario ingresa a la aplicación</t>
  </si>
  <si>
    <t>Introduce sus datos correctos</t>
  </si>
  <si>
    <t>El token de sesión JWT se almacena de forma segura y se recuperan los datos del perfil; si son incorrectos, se emite una alerta sin bloquear la interfaz</t>
  </si>
  <si>
    <t>HU-19</t>
  </si>
  <si>
    <t>Quiero que el juego sincronice asíncronamente mi inventario, misiones aprobadas y código guardado</t>
  </si>
  <si>
    <t>Para no perder horas de trabajo ni tener que reiniciar el juego tras cerrar la aplicación</t>
  </si>
  <si>
    <t>Guardado en la nube mediante Supabase BaaS</t>
  </si>
  <si>
    <t>El jugador completa un nivel o transfiere minerales a la nave nodriza</t>
  </si>
  <si>
    <t>El servicio progress_service.gd despacha la solicitud REST</t>
  </si>
  <si>
    <t>La tabla de progreso en Supabase se actualiza en segundo plano sin congelar la tasa de cuadros por segundo</t>
  </si>
  <si>
    <t>HU-20</t>
  </si>
  <si>
    <t>Quiero una opción clara para cerrar sesión en el menú de ajustes</t>
  </si>
  <si>
    <t>Para proteger mi privacidad al jugar en computadores compartidos de los laboratorios de Duoc UC</t>
  </si>
  <si>
    <t>cierre de sesion seguro</t>
  </si>
  <si>
    <t>una sesion se encuentra activa</t>
  </si>
  <si>
    <t>El usuario hace clic en "Cerrar sesión"</t>
  </si>
  <si>
    <t>Se purgan las credenciales en memoria, se invalida el token local y se regresa a la pantalla de bienvenida</t>
  </si>
  <si>
    <t>HU-21</t>
  </si>
  <si>
    <t>EP-06 Validación y entrega</t>
  </si>
  <si>
    <t>Quiero ejecutar una batería de pruebas de regresión e integración sobre los scripts principales</t>
  </si>
  <si>
    <t>Para detectar colisiones no deseadas, fallos léxicos o desbordamientos antes de la evaluación</t>
  </si>
  <si>
    <t>Verificación de casos límite en el parser</t>
  </si>
  <si>
    <t>El analizador léxico recibe secuencias complejas o mal estructuradas</t>
  </si>
  <si>
    <t>Se ejecutan los escenarios de prueba en tests/</t>
  </si>
  <si>
    <t>Todos los casos de error arrojan excepciones controladas sin provocar un crash de la aplicación</t>
  </si>
  <si>
    <t>HU-22</t>
  </si>
  <si>
    <t>Quiero priorizar y resolver bugs críticos detectados durante los testeos</t>
  </si>
  <si>
    <t>Para asegurar un Producto Mínimo Viable (MVP) completamente estable para el cliente</t>
  </si>
  <si>
    <t>Corrección de incidencias bloqueantes</t>
  </si>
  <si>
    <t>Se reporta un bug que impide la entrega de minerales en la nave</t>
  </si>
  <si>
    <t>Se aplica el parche en el script de interacción</t>
  </si>
  <si>
    <t>El flujo principal de recolección se ejecuta con normalidad y se cierra la incidencia en el backlog</t>
  </si>
  <si>
    <t>HU-23</t>
  </si>
  <si>
    <t>EP-06 Experiencia de usuario y gamificación</t>
  </si>
  <si>
    <t>Quiero abrir el panel del Códice pedagógico de A.D.A. (archivo_ada.tscn) durante la partida</t>
  </si>
  <si>
    <t>Para consultar definiciones claras y ejemplos de conceptos de POO (clases, métodos, atributos, instancias) cuando tenga dudas al programar</t>
  </si>
  <si>
    <t>Consulta de tarjetas teóricas en tiempo real</t>
  </si>
  <si>
    <t>El jugador se encuentra en medio de un desafío algorítmico y no recuerda la sintaxis de un método</t>
  </si>
  <si>
    <t>Hace clic en el botón del Códice de A.D.A.</t>
  </si>
  <si>
    <t>Se despliega un panel superpuesto con la guía conceptual y ejemplos de código sin perder el progreso del nivel actual</t>
  </si>
  <si>
    <t>HU-24</t>
  </si>
  <si>
    <t>Quiero canjear los minerales recolectados en la estación de la nave para mejorar a Spid (capacidad de carga, velocidad)</t>
  </si>
  <si>
    <t>Para sentir progreso y motivación constante al superar misiones más desafiantes</t>
  </si>
  <si>
    <t>ESC-24.1</t>
  </si>
  <si>
    <t>Compra de mejora con recursos minados</t>
  </si>
  <si>
    <t>El jugador tiene acumulados 5 cristales minerales y accede al terminal de la nave nodriza</t>
  </si>
  <si>
    <t>Selecciona la mejora de "Batería / Capacidad de carga +1" y confirma el intercambio</t>
  </si>
  <si>
    <t>Se descuentan los 5 minerales del inventario y las estadísticas de Spid se actualizan permanentemente</t>
  </si>
  <si>
    <t>could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</si>
</sst>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b/>
      <sz val="14.0"/>
      <color rgb="FFFFFFFF"/>
      <name val="Carlito"/>
    </font>
    <font/>
    <font>
      <i/>
      <sz val="11.0"/>
      <color theme="1"/>
      <name val="Carlito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  <font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</fills>
  <borders count="6">
    <border/>
    <border>
      <left/>
      <top/>
      <bottom/>
    </border>
    <border>
      <top/>
      <bottom/>
    </border>
    <border>
      <right/>
      <top/>
      <bottom/>
    </border>
    <border>
      <left/>
      <right/>
      <top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horizontal="center" shrinkToFit="0" wrapText="1"/>
    </xf>
    <xf borderId="4" fillId="4" fontId="4" numFmtId="0" xfId="0" applyAlignment="1" applyBorder="1" applyFill="1" applyFont="1">
      <alignment horizontal="center" shrinkToFit="0" wrapText="1"/>
    </xf>
    <xf borderId="5" fillId="0" fontId="5" numFmtId="0" xfId="0" applyAlignment="1" applyBorder="1" applyFont="1">
      <alignment readingOrder="0" shrinkToFit="0" vertical="center" wrapText="1"/>
    </xf>
    <xf borderId="5" fillId="0" fontId="5" numFmtId="0" xfId="0" applyAlignment="1" applyBorder="1" applyFont="1">
      <alignment shrinkToFit="0" vertical="center" wrapText="1"/>
    </xf>
    <xf borderId="5" fillId="0" fontId="6" numFmtId="0" xfId="0" applyAlignment="1" applyBorder="1" applyFont="1">
      <alignment readingOrder="0"/>
    </xf>
    <xf borderId="5" fillId="0" fontId="7" numFmtId="0" xfId="0" applyAlignment="1" applyBorder="1" applyFont="1">
      <alignment readingOrder="0"/>
    </xf>
    <xf borderId="5" fillId="0" fontId="6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23.63"/>
    <col customWidth="1" min="2" max="2" width="24.88"/>
    <col customWidth="1" min="3" max="3" width="21.75"/>
    <col customWidth="1" min="4" max="4" width="23.13"/>
    <col customWidth="1" min="5" max="5" width="21.75"/>
    <col customWidth="1" min="6" max="6" width="21.13"/>
    <col customWidth="1" min="7" max="7" width="15.88"/>
    <col customWidth="1" min="8" max="8" width="19.63"/>
    <col customWidth="1" min="9" max="10" width="17.0"/>
    <col customWidth="1" min="11" max="11" width="18.63"/>
    <col customWidth="1" min="12" max="12" width="17.75"/>
    <col customWidth="1" min="13" max="13" width="17.63"/>
    <col customWidth="1" min="14" max="26" width="8.63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</row>
    <row r="4" ht="42.0" customHeight="1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  <c r="G4" s="5" t="s">
        <v>8</v>
      </c>
      <c r="H4" s="5" t="s">
        <v>9</v>
      </c>
      <c r="I4" s="5" t="s">
        <v>10</v>
      </c>
      <c r="J4" s="5" t="s">
        <v>11</v>
      </c>
      <c r="K4" s="5" t="s">
        <v>12</v>
      </c>
      <c r="L4" s="5" t="s">
        <v>13</v>
      </c>
      <c r="M4" s="5" t="s">
        <v>14</v>
      </c>
    </row>
    <row r="5" ht="42.0" customHeight="1">
      <c r="A5" s="6" t="s">
        <v>15</v>
      </c>
      <c r="B5" s="6" t="s">
        <v>16</v>
      </c>
      <c r="C5" s="6" t="s">
        <v>17</v>
      </c>
      <c r="D5" s="6" t="s">
        <v>18</v>
      </c>
      <c r="E5" s="6" t="s">
        <v>19</v>
      </c>
      <c r="F5" s="6" t="str">
        <f t="shared" ref="F5:F14" si="1">CONCATENATE("ESC",RIGHT(A5,LEN(A5) - (FIND("-",A5) - 1)),".1")</f>
        <v>ESC-01.1</v>
      </c>
      <c r="G5" s="6" t="s">
        <v>20</v>
      </c>
      <c r="H5" s="6" t="s">
        <v>21</v>
      </c>
      <c r="I5" s="6" t="s">
        <v>22</v>
      </c>
      <c r="J5" s="6" t="s">
        <v>23</v>
      </c>
      <c r="K5" s="6" t="s">
        <v>24</v>
      </c>
      <c r="L5" s="6">
        <v>2.0</v>
      </c>
      <c r="M5" s="6" t="s">
        <v>25</v>
      </c>
    </row>
    <row r="6" ht="42.0" customHeight="1">
      <c r="A6" s="6" t="s">
        <v>26</v>
      </c>
      <c r="B6" s="6" t="s">
        <v>16</v>
      </c>
      <c r="C6" s="6" t="s">
        <v>17</v>
      </c>
      <c r="D6" s="6" t="s">
        <v>27</v>
      </c>
      <c r="E6" s="6" t="s">
        <v>28</v>
      </c>
      <c r="F6" s="6" t="str">
        <f t="shared" si="1"/>
        <v>ESC-02.1</v>
      </c>
      <c r="G6" s="6" t="s">
        <v>29</v>
      </c>
      <c r="H6" s="6" t="s">
        <v>30</v>
      </c>
      <c r="I6" s="6" t="s">
        <v>31</v>
      </c>
      <c r="J6" s="6" t="s">
        <v>32</v>
      </c>
      <c r="K6" s="6" t="s">
        <v>24</v>
      </c>
      <c r="L6" s="6">
        <v>2.0</v>
      </c>
      <c r="M6" s="6" t="s">
        <v>25</v>
      </c>
    </row>
    <row r="7" ht="42.0" customHeight="1">
      <c r="A7" s="6" t="s">
        <v>33</v>
      </c>
      <c r="B7" s="6" t="s">
        <v>34</v>
      </c>
      <c r="C7" s="6" t="s">
        <v>35</v>
      </c>
      <c r="D7" s="6" t="s">
        <v>36</v>
      </c>
      <c r="E7" s="6" t="s">
        <v>37</v>
      </c>
      <c r="F7" s="6" t="str">
        <f t="shared" si="1"/>
        <v>ESC-03.1</v>
      </c>
      <c r="G7" s="6" t="s">
        <v>38</v>
      </c>
      <c r="H7" s="6" t="s">
        <v>39</v>
      </c>
      <c r="I7" s="6" t="s">
        <v>40</v>
      </c>
      <c r="J7" s="6" t="s">
        <v>41</v>
      </c>
      <c r="K7" s="6" t="s">
        <v>24</v>
      </c>
      <c r="L7" s="6">
        <v>2.0</v>
      </c>
      <c r="M7" s="6" t="s">
        <v>25</v>
      </c>
    </row>
    <row r="8" ht="42.0" customHeight="1">
      <c r="A8" s="6" t="s">
        <v>42</v>
      </c>
      <c r="B8" s="6" t="s">
        <v>43</v>
      </c>
      <c r="C8" s="6" t="s">
        <v>44</v>
      </c>
      <c r="D8" s="6" t="s">
        <v>45</v>
      </c>
      <c r="E8" s="6" t="s">
        <v>46</v>
      </c>
      <c r="F8" s="7" t="str">
        <f t="shared" si="1"/>
        <v>ESC-04.1</v>
      </c>
      <c r="G8" s="6" t="s">
        <v>47</v>
      </c>
      <c r="H8" s="6" t="s">
        <v>48</v>
      </c>
      <c r="I8" s="6" t="s">
        <v>49</v>
      </c>
      <c r="J8" s="6" t="s">
        <v>50</v>
      </c>
      <c r="K8" s="6" t="s">
        <v>24</v>
      </c>
      <c r="L8" s="6">
        <v>3.0</v>
      </c>
      <c r="M8" s="6" t="s">
        <v>25</v>
      </c>
    </row>
    <row r="9" ht="42.0" customHeight="1">
      <c r="A9" s="6" t="s">
        <v>51</v>
      </c>
      <c r="B9" s="6" t="s">
        <v>43</v>
      </c>
      <c r="C9" s="6" t="s">
        <v>44</v>
      </c>
      <c r="D9" s="6" t="s">
        <v>52</v>
      </c>
      <c r="E9" s="6" t="s">
        <v>53</v>
      </c>
      <c r="F9" s="7" t="str">
        <f t="shared" si="1"/>
        <v>ESC-05.1</v>
      </c>
      <c r="G9" s="6" t="s">
        <v>54</v>
      </c>
      <c r="H9" s="6" t="s">
        <v>55</v>
      </c>
      <c r="I9" s="6" t="s">
        <v>56</v>
      </c>
      <c r="J9" s="6" t="s">
        <v>57</v>
      </c>
      <c r="K9" s="6" t="s">
        <v>24</v>
      </c>
      <c r="L9" s="6">
        <v>3.0</v>
      </c>
      <c r="M9" s="6" t="s">
        <v>25</v>
      </c>
    </row>
    <row r="10" ht="42.0" customHeight="1">
      <c r="A10" s="6" t="s">
        <v>58</v>
      </c>
      <c r="B10" s="6" t="s">
        <v>43</v>
      </c>
      <c r="C10" s="6" t="s">
        <v>44</v>
      </c>
      <c r="D10" s="6" t="s">
        <v>59</v>
      </c>
      <c r="E10" s="6" t="s">
        <v>60</v>
      </c>
      <c r="F10" s="7" t="str">
        <f t="shared" si="1"/>
        <v>ESC-06.1</v>
      </c>
      <c r="G10" s="6" t="s">
        <v>61</v>
      </c>
      <c r="H10" s="6" t="s">
        <v>62</v>
      </c>
      <c r="I10" s="6" t="s">
        <v>63</v>
      </c>
      <c r="J10" s="6" t="s">
        <v>64</v>
      </c>
      <c r="K10" s="6" t="s">
        <v>24</v>
      </c>
      <c r="L10" s="6">
        <v>3.0</v>
      </c>
      <c r="M10" s="6" t="s">
        <v>25</v>
      </c>
    </row>
    <row r="11" ht="42.0" customHeight="1">
      <c r="A11" s="6" t="s">
        <v>65</v>
      </c>
      <c r="B11" s="6" t="s">
        <v>43</v>
      </c>
      <c r="C11" s="6" t="s">
        <v>44</v>
      </c>
      <c r="D11" s="6" t="s">
        <v>66</v>
      </c>
      <c r="E11" s="6" t="s">
        <v>67</v>
      </c>
      <c r="F11" s="7" t="str">
        <f t="shared" si="1"/>
        <v>ESC-07.1</v>
      </c>
      <c r="G11" s="6" t="s">
        <v>68</v>
      </c>
      <c r="H11" s="6" t="s">
        <v>69</v>
      </c>
      <c r="I11" s="6" t="s">
        <v>70</v>
      </c>
      <c r="J11" s="6" t="s">
        <v>71</v>
      </c>
      <c r="K11" s="6" t="s">
        <v>24</v>
      </c>
      <c r="L11" s="6">
        <v>2.0</v>
      </c>
      <c r="M11" s="6" t="s">
        <v>25</v>
      </c>
    </row>
    <row r="12" ht="42.0" customHeight="1">
      <c r="A12" s="6" t="s">
        <v>72</v>
      </c>
      <c r="B12" s="6" t="s">
        <v>73</v>
      </c>
      <c r="C12" s="6" t="s">
        <v>44</v>
      </c>
      <c r="D12" s="6" t="s">
        <v>74</v>
      </c>
      <c r="E12" s="6" t="s">
        <v>75</v>
      </c>
      <c r="F12" s="7" t="str">
        <f t="shared" si="1"/>
        <v>ESC-08.1</v>
      </c>
      <c r="G12" s="6" t="s">
        <v>76</v>
      </c>
      <c r="H12" s="6" t="s">
        <v>77</v>
      </c>
      <c r="I12" s="6" t="s">
        <v>78</v>
      </c>
      <c r="J12" s="6" t="s">
        <v>79</v>
      </c>
      <c r="K12" s="6" t="s">
        <v>24</v>
      </c>
      <c r="L12" s="6">
        <v>4.0</v>
      </c>
      <c r="M12" s="6" t="s">
        <v>25</v>
      </c>
    </row>
    <row r="13" ht="42.0" customHeight="1">
      <c r="A13" s="6" t="s">
        <v>80</v>
      </c>
      <c r="B13" s="6" t="s">
        <v>73</v>
      </c>
      <c r="C13" s="6" t="s">
        <v>44</v>
      </c>
      <c r="D13" s="6" t="s">
        <v>81</v>
      </c>
      <c r="E13" s="6" t="s">
        <v>82</v>
      </c>
      <c r="F13" s="7" t="str">
        <f t="shared" si="1"/>
        <v>ESC-09.1</v>
      </c>
      <c r="G13" s="6" t="s">
        <v>83</v>
      </c>
      <c r="H13" s="6" t="s">
        <v>84</v>
      </c>
      <c r="I13" s="6" t="s">
        <v>85</v>
      </c>
      <c r="J13" s="6" t="s">
        <v>86</v>
      </c>
      <c r="K13" s="6" t="s">
        <v>24</v>
      </c>
      <c r="L13" s="6">
        <v>4.0</v>
      </c>
      <c r="M13" s="6" t="s">
        <v>25</v>
      </c>
    </row>
    <row r="14" ht="42.0" customHeight="1">
      <c r="A14" s="6" t="s">
        <v>87</v>
      </c>
      <c r="B14" s="6" t="s">
        <v>73</v>
      </c>
      <c r="C14" s="6" t="s">
        <v>44</v>
      </c>
      <c r="D14" s="6" t="s">
        <v>88</v>
      </c>
      <c r="E14" s="6" t="s">
        <v>89</v>
      </c>
      <c r="F14" s="7" t="str">
        <f t="shared" si="1"/>
        <v>ESC-10.1</v>
      </c>
      <c r="G14" s="6" t="s">
        <v>90</v>
      </c>
      <c r="H14" s="6" t="s">
        <v>91</v>
      </c>
      <c r="I14" s="6" t="s">
        <v>92</v>
      </c>
      <c r="J14" s="6" t="s">
        <v>93</v>
      </c>
      <c r="K14" s="6" t="s">
        <v>24</v>
      </c>
      <c r="L14" s="6">
        <v>4.0</v>
      </c>
      <c r="M14" s="6" t="s">
        <v>25</v>
      </c>
    </row>
    <row r="15" ht="42.0" customHeight="1">
      <c r="A15" s="6" t="s">
        <v>94</v>
      </c>
      <c r="B15" s="6" t="s">
        <v>73</v>
      </c>
      <c r="C15" s="6" t="s">
        <v>44</v>
      </c>
      <c r="D15" s="6" t="s">
        <v>95</v>
      </c>
      <c r="E15" s="6" t="s">
        <v>96</v>
      </c>
      <c r="F15" s="6" t="s">
        <v>97</v>
      </c>
      <c r="G15" s="6" t="s">
        <v>98</v>
      </c>
      <c r="H15" s="6" t="s">
        <v>99</v>
      </c>
      <c r="I15" s="6" t="s">
        <v>100</v>
      </c>
      <c r="J15" s="6" t="s">
        <v>101</v>
      </c>
      <c r="K15" s="6" t="s">
        <v>24</v>
      </c>
      <c r="L15" s="6">
        <v>3.0</v>
      </c>
      <c r="M15" s="6" t="s">
        <v>25</v>
      </c>
    </row>
    <row r="16" ht="42.0" customHeight="1">
      <c r="A16" s="6" t="s">
        <v>102</v>
      </c>
      <c r="B16" s="6" t="s">
        <v>73</v>
      </c>
      <c r="C16" s="6" t="s">
        <v>103</v>
      </c>
      <c r="D16" s="6" t="s">
        <v>104</v>
      </c>
      <c r="E16" s="6" t="s">
        <v>105</v>
      </c>
      <c r="F16" s="6" t="s">
        <v>106</v>
      </c>
      <c r="G16" s="6" t="s">
        <v>107</v>
      </c>
      <c r="H16" s="6" t="s">
        <v>108</v>
      </c>
      <c r="I16" s="6" t="s">
        <v>109</v>
      </c>
      <c r="J16" s="6" t="s">
        <v>110</v>
      </c>
      <c r="K16" s="6" t="s">
        <v>24</v>
      </c>
      <c r="L16" s="6">
        <v>3.0</v>
      </c>
      <c r="M16" s="6" t="s">
        <v>25</v>
      </c>
    </row>
    <row r="17" ht="42.0" customHeight="1">
      <c r="A17" s="6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ht="42.0" customHeight="1">
      <c r="A18" s="6" t="s">
        <v>111</v>
      </c>
      <c r="B18" s="6" t="s">
        <v>112</v>
      </c>
      <c r="C18" s="6" t="s">
        <v>44</v>
      </c>
      <c r="D18" s="6" t="s">
        <v>113</v>
      </c>
      <c r="E18" s="6" t="s">
        <v>114</v>
      </c>
      <c r="F18" s="6" t="str">
        <f t="shared" ref="F18:F28" si="2">CONCATENATE("ESC",RIGHT(A18,LEN(A18) - (FIND("-",A18) - 1)),".",MID(A18,FIND("-",A18) + 1,FIND("-",A18) + 1 - (FIND("-",A18))))</f>
        <v>ESC-13.1</v>
      </c>
      <c r="G18" s="6" t="s">
        <v>115</v>
      </c>
      <c r="H18" s="6" t="s">
        <v>116</v>
      </c>
      <c r="I18" s="6" t="s">
        <v>117</v>
      </c>
      <c r="J18" s="6" t="s">
        <v>118</v>
      </c>
      <c r="K18" s="6" t="s">
        <v>24</v>
      </c>
      <c r="L18" s="6">
        <v>3.0</v>
      </c>
      <c r="M18" s="6" t="s">
        <v>25</v>
      </c>
    </row>
    <row r="19" ht="42.0" customHeight="1">
      <c r="A19" s="6" t="s">
        <v>119</v>
      </c>
      <c r="B19" s="6" t="s">
        <v>112</v>
      </c>
      <c r="C19" s="6" t="s">
        <v>44</v>
      </c>
      <c r="D19" s="6" t="s">
        <v>120</v>
      </c>
      <c r="E19" s="6" t="s">
        <v>121</v>
      </c>
      <c r="F19" s="6" t="str">
        <f t="shared" si="2"/>
        <v>ESC-14.1</v>
      </c>
      <c r="G19" s="6" t="s">
        <v>122</v>
      </c>
      <c r="H19" s="6" t="s">
        <v>123</v>
      </c>
      <c r="I19" s="6" t="s">
        <v>124</v>
      </c>
      <c r="J19" s="6" t="s">
        <v>125</v>
      </c>
      <c r="K19" s="6" t="s">
        <v>24</v>
      </c>
      <c r="L19" s="6">
        <v>3.0</v>
      </c>
      <c r="M19" s="6" t="s">
        <v>25</v>
      </c>
    </row>
    <row r="20" ht="42.0" customHeight="1">
      <c r="A20" s="6" t="s">
        <v>126</v>
      </c>
      <c r="B20" s="6" t="s">
        <v>112</v>
      </c>
      <c r="C20" s="6" t="s">
        <v>44</v>
      </c>
      <c r="D20" s="6" t="s">
        <v>127</v>
      </c>
      <c r="E20" s="6" t="s">
        <v>128</v>
      </c>
      <c r="F20" s="7" t="str">
        <f t="shared" si="2"/>
        <v>ESC-15.1</v>
      </c>
      <c r="G20" s="6" t="s">
        <v>129</v>
      </c>
      <c r="H20" s="6" t="s">
        <v>130</v>
      </c>
      <c r="I20" s="6" t="s">
        <v>131</v>
      </c>
      <c r="J20" s="6" t="s">
        <v>132</v>
      </c>
      <c r="K20" s="6" t="s">
        <v>24</v>
      </c>
      <c r="L20" s="6">
        <v>4.0</v>
      </c>
      <c r="M20" s="6" t="s">
        <v>25</v>
      </c>
    </row>
    <row r="21" ht="42.0" customHeight="1">
      <c r="A21" s="6" t="s">
        <v>133</v>
      </c>
      <c r="B21" s="6" t="s">
        <v>112</v>
      </c>
      <c r="C21" s="6" t="s">
        <v>44</v>
      </c>
      <c r="D21" s="6" t="s">
        <v>134</v>
      </c>
      <c r="E21" s="6" t="s">
        <v>135</v>
      </c>
      <c r="F21" s="7" t="str">
        <f t="shared" si="2"/>
        <v>ESC-16.1</v>
      </c>
      <c r="G21" s="6" t="s">
        <v>136</v>
      </c>
      <c r="H21" s="6" t="s">
        <v>137</v>
      </c>
      <c r="I21" s="6" t="s">
        <v>138</v>
      </c>
      <c r="J21" s="6" t="s">
        <v>139</v>
      </c>
      <c r="K21" s="6" t="s">
        <v>140</v>
      </c>
      <c r="L21" s="6">
        <v>3.0</v>
      </c>
      <c r="M21" s="6" t="s">
        <v>141</v>
      </c>
    </row>
    <row r="22" ht="42.0" customHeight="1">
      <c r="A22" s="6" t="s">
        <v>142</v>
      </c>
      <c r="B22" s="6" t="s">
        <v>143</v>
      </c>
      <c r="C22" s="6" t="s">
        <v>144</v>
      </c>
      <c r="D22" s="6" t="s">
        <v>145</v>
      </c>
      <c r="E22" s="6" t="s">
        <v>146</v>
      </c>
      <c r="F22" s="7" t="str">
        <f t="shared" si="2"/>
        <v>ESC-17.1</v>
      </c>
      <c r="G22" s="6" t="s">
        <v>147</v>
      </c>
      <c r="H22" s="6" t="s">
        <v>148</v>
      </c>
      <c r="I22" s="6" t="s">
        <v>149</v>
      </c>
      <c r="J22" s="6" t="s">
        <v>150</v>
      </c>
      <c r="K22" s="6" t="s">
        <v>24</v>
      </c>
      <c r="L22" s="6">
        <v>3.0</v>
      </c>
      <c r="M22" s="6" t="s">
        <v>25</v>
      </c>
    </row>
    <row r="23" ht="42.0" customHeight="1">
      <c r="A23" s="6" t="s">
        <v>151</v>
      </c>
      <c r="B23" s="6" t="s">
        <v>143</v>
      </c>
      <c r="C23" s="6" t="s">
        <v>144</v>
      </c>
      <c r="D23" s="6" t="s">
        <v>152</v>
      </c>
      <c r="E23" s="6" t="s">
        <v>153</v>
      </c>
      <c r="F23" s="7" t="str">
        <f t="shared" si="2"/>
        <v>ESC-18.1</v>
      </c>
      <c r="G23" s="6" t="s">
        <v>154</v>
      </c>
      <c r="H23" s="6" t="s">
        <v>155</v>
      </c>
      <c r="I23" s="6" t="s">
        <v>156</v>
      </c>
      <c r="J23" s="6" t="s">
        <v>157</v>
      </c>
      <c r="K23" s="6" t="s">
        <v>24</v>
      </c>
      <c r="L23" s="6">
        <v>3.0</v>
      </c>
      <c r="M23" s="6" t="s">
        <v>25</v>
      </c>
    </row>
    <row r="24" ht="75.75" customHeight="1">
      <c r="A24" s="6" t="s">
        <v>158</v>
      </c>
      <c r="B24" s="6" t="s">
        <v>143</v>
      </c>
      <c r="C24" s="6" t="s">
        <v>144</v>
      </c>
      <c r="D24" s="6" t="s">
        <v>159</v>
      </c>
      <c r="E24" s="6" t="s">
        <v>160</v>
      </c>
      <c r="F24" s="7" t="str">
        <f t="shared" si="2"/>
        <v>ESC-19.1</v>
      </c>
      <c r="G24" s="6" t="s">
        <v>161</v>
      </c>
      <c r="H24" s="6" t="s">
        <v>162</v>
      </c>
      <c r="I24" s="6" t="s">
        <v>163</v>
      </c>
      <c r="J24" s="6" t="s">
        <v>164</v>
      </c>
      <c r="K24" s="6" t="s">
        <v>24</v>
      </c>
      <c r="L24" s="6">
        <v>4.0</v>
      </c>
      <c r="M24" s="6" t="s">
        <v>25</v>
      </c>
    </row>
    <row r="25" ht="75.75" customHeight="1">
      <c r="A25" s="8" t="s">
        <v>165</v>
      </c>
      <c r="B25" s="8" t="s">
        <v>143</v>
      </c>
      <c r="C25" s="8" t="s">
        <v>144</v>
      </c>
      <c r="D25" s="9" t="s">
        <v>166</v>
      </c>
      <c r="E25" s="8" t="s">
        <v>167</v>
      </c>
      <c r="F25" s="10" t="str">
        <f t="shared" si="2"/>
        <v>ESC-20.2</v>
      </c>
      <c r="G25" s="8" t="s">
        <v>168</v>
      </c>
      <c r="H25" s="8" t="s">
        <v>169</v>
      </c>
      <c r="I25" s="8" t="s">
        <v>170</v>
      </c>
      <c r="J25" s="8" t="s">
        <v>171</v>
      </c>
      <c r="K25" s="8" t="s">
        <v>24</v>
      </c>
      <c r="L25" s="8">
        <v>2.0</v>
      </c>
      <c r="M25" s="8" t="s">
        <v>25</v>
      </c>
    </row>
    <row r="26" ht="67.5" customHeight="1">
      <c r="A26" s="8" t="s">
        <v>172</v>
      </c>
      <c r="B26" s="8" t="s">
        <v>173</v>
      </c>
      <c r="C26" s="8" t="s">
        <v>17</v>
      </c>
      <c r="D26" s="8" t="s">
        <v>174</v>
      </c>
      <c r="E26" s="8" t="s">
        <v>175</v>
      </c>
      <c r="F26" s="10" t="str">
        <f t="shared" si="2"/>
        <v>ESC-21.2</v>
      </c>
      <c r="G26" s="8" t="s">
        <v>176</v>
      </c>
      <c r="H26" s="8" t="s">
        <v>177</v>
      </c>
      <c r="I26" s="8" t="s">
        <v>178</v>
      </c>
      <c r="J26" s="8" t="s">
        <v>179</v>
      </c>
      <c r="K26" s="8" t="s">
        <v>24</v>
      </c>
      <c r="L26" s="8">
        <v>3.0</v>
      </c>
      <c r="M26" s="8" t="s">
        <v>25</v>
      </c>
    </row>
    <row r="27" ht="75.75" customHeight="1">
      <c r="A27" s="8" t="s">
        <v>180</v>
      </c>
      <c r="B27" s="8" t="s">
        <v>173</v>
      </c>
      <c r="C27" s="8" t="s">
        <v>17</v>
      </c>
      <c r="D27" s="8" t="s">
        <v>181</v>
      </c>
      <c r="E27" s="8" t="s">
        <v>182</v>
      </c>
      <c r="F27" s="10" t="str">
        <f t="shared" si="2"/>
        <v>ESC-22.2</v>
      </c>
      <c r="G27" s="8" t="s">
        <v>183</v>
      </c>
      <c r="H27" s="8" t="s">
        <v>184</v>
      </c>
      <c r="I27" s="8" t="s">
        <v>185</v>
      </c>
      <c r="J27" s="8" t="s">
        <v>186</v>
      </c>
      <c r="K27" s="8" t="s">
        <v>24</v>
      </c>
      <c r="L27" s="8">
        <v>3.0</v>
      </c>
      <c r="M27" s="8" t="s">
        <v>25</v>
      </c>
    </row>
    <row r="28" ht="68.25" customHeight="1">
      <c r="A28" s="8" t="s">
        <v>187</v>
      </c>
      <c r="B28" s="8" t="s">
        <v>188</v>
      </c>
      <c r="C28" s="8" t="s">
        <v>44</v>
      </c>
      <c r="D28" s="8" t="s">
        <v>189</v>
      </c>
      <c r="E28" s="8" t="s">
        <v>190</v>
      </c>
      <c r="F28" s="10" t="str">
        <f t="shared" si="2"/>
        <v>ESC-23.2</v>
      </c>
      <c r="G28" s="8" t="s">
        <v>191</v>
      </c>
      <c r="H28" s="8" t="s">
        <v>192</v>
      </c>
      <c r="I28" s="8" t="s">
        <v>193</v>
      </c>
      <c r="J28" s="8" t="s">
        <v>194</v>
      </c>
      <c r="K28" s="8" t="s">
        <v>140</v>
      </c>
      <c r="L28" s="8">
        <v>3.0</v>
      </c>
      <c r="M28" s="8" t="s">
        <v>141</v>
      </c>
    </row>
    <row r="29" ht="81.75" customHeight="1">
      <c r="A29" s="8" t="s">
        <v>195</v>
      </c>
      <c r="B29" s="8" t="s">
        <v>188</v>
      </c>
      <c r="C29" s="8" t="s">
        <v>44</v>
      </c>
      <c r="D29" s="8" t="s">
        <v>196</v>
      </c>
      <c r="E29" s="8" t="s">
        <v>197</v>
      </c>
      <c r="F29" s="8" t="s">
        <v>198</v>
      </c>
      <c r="G29" s="8" t="s">
        <v>199</v>
      </c>
      <c r="H29" s="8" t="s">
        <v>200</v>
      </c>
      <c r="I29" s="8" t="s">
        <v>201</v>
      </c>
      <c r="J29" s="8" t="s">
        <v>202</v>
      </c>
      <c r="K29" s="8" t="s">
        <v>203</v>
      </c>
      <c r="L29" s="8">
        <v>3.0</v>
      </c>
      <c r="M29" s="8" t="s">
        <v>141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M1"/>
    <mergeCell ref="A2:M2"/>
  </mergeCells>
  <printOptions/>
  <pageMargins bottom="0.75" footer="0.0" header="0.0" left="0.7" right="0.7" top="0.75"/>
  <pageSetup orientation="landscape"/>
  <drawing r:id="rId1"/>
</worksheet>
</file>